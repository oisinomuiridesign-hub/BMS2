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/>
  <xr:revisionPtr revIDLastSave="0" documentId="8_{7A03D9CB-91CE-41AB-9FF1-3E4025D0A8C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Notification" sheetId="1" r:id="rId1"/>
    <sheet name="Estimates" sheetId="3" r:id="rId2"/>
    <sheet name="Chaya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E7" i="2"/>
  <c r="C7" i="2"/>
  <c r="E6" i="2"/>
  <c r="C6" i="2"/>
  <c r="E5" i="2"/>
  <c r="C5" i="2"/>
  <c r="E4" i="2"/>
  <c r="C4" i="2"/>
  <c r="E3" i="2"/>
  <c r="E8" i="2" s="1"/>
  <c r="C3" i="2"/>
  <c r="C8" i="2" s="1"/>
</calcChain>
</file>

<file path=xl/sharedStrings.xml><?xml version="1.0" encoding="utf-8"?>
<sst xmlns="http://schemas.openxmlformats.org/spreadsheetml/2006/main" count="145" uniqueCount="73">
  <si>
    <t>Notifications Types</t>
  </si>
  <si>
    <t>Info</t>
  </si>
  <si>
    <t>To-Do</t>
  </si>
  <si>
    <t>Notifications Features</t>
  </si>
  <si>
    <t>Feature</t>
  </si>
  <si>
    <t>Type/activity</t>
  </si>
  <si>
    <t>Trigger</t>
  </si>
  <si>
    <t>Content</t>
  </si>
  <si>
    <t>Notification type</t>
  </si>
  <si>
    <t>Pending</t>
  </si>
  <si>
    <t>Users</t>
  </si>
  <si>
    <t>Notification Description</t>
  </si>
  <si>
    <t>Notification Name</t>
  </si>
  <si>
    <t>Clients/details</t>
  </si>
  <si>
    <t>Any edits</t>
  </si>
  <si>
    <t>on save</t>
  </si>
  <si>
    <t>Log item and user who preformed it</t>
  </si>
  <si>
    <t>Owner/Planners</t>
  </si>
  <si>
    <r>
      <t xml:space="preserve">Client details have been updated by </t>
    </r>
    <r>
      <rPr>
        <b/>
        <sz val="11"/>
        <color theme="1"/>
        <rFont val="Aptos Narrow"/>
        <family val="2"/>
        <scheme val="minor"/>
      </rPr>
      <t>{UserName}</t>
    </r>
  </si>
  <si>
    <t>Client Details Updated</t>
  </si>
  <si>
    <t>Timeline note</t>
  </si>
  <si>
    <t>setting followup date</t>
  </si>
  <si>
    <t>Need to discuss on the flow</t>
  </si>
  <si>
    <t>Planners</t>
  </si>
  <si>
    <t>Follow-up scheduled. Please take the necessary action</t>
  </si>
  <si>
    <t>Client Follow-up Reminder</t>
  </si>
  <si>
    <t>Complained added/Via timeline complaint</t>
  </si>
  <si>
    <t>Please preform this action to resolve</t>
  </si>
  <si>
    <t>A new complaint has been added. Please review and take action</t>
  </si>
  <si>
    <t>Client Complaint Created</t>
  </si>
  <si>
    <t>Client Files/Expiry</t>
  </si>
  <si>
    <t>A client file is about to expire or has expired. Please update it</t>
  </si>
  <si>
    <t>Client File Expiry Alert</t>
  </si>
  <si>
    <t>Client/agreements</t>
  </si>
  <si>
    <t>When planner created and saved concept</t>
  </si>
  <si>
    <t>Owner</t>
  </si>
  <si>
    <t>A new agreement draft has been created</t>
  </si>
  <si>
    <t>Agreement Draft Created</t>
  </si>
  <si>
    <t>Agremeent expired</t>
  </si>
  <si>
    <t>After expiration</t>
  </si>
  <si>
    <t>Inform clients</t>
  </si>
  <si>
    <t>An agreement has expired. Please review and take action</t>
  </si>
  <si>
    <t>Agreement Expired</t>
  </si>
  <si>
    <t>Concept addendum has been created</t>
  </si>
  <si>
    <t>On save</t>
  </si>
  <si>
    <t>inform owner</t>
  </si>
  <si>
    <t>An addendum has been created for the agreement</t>
  </si>
  <si>
    <t>Agreement Addendum Created</t>
  </si>
  <si>
    <t>Employee</t>
  </si>
  <si>
    <t>Identification and/or skill  has expired</t>
  </si>
  <si>
    <t>on expiration</t>
  </si>
  <si>
    <t>Take action</t>
  </si>
  <si>
    <t>Employee identification or skill has expired. Please take action</t>
  </si>
  <si>
    <t>Employee Compliance Expired</t>
  </si>
  <si>
    <t>Notifications</t>
  </si>
  <si>
    <t>Task Title</t>
  </si>
  <si>
    <t>FE (Days)</t>
  </si>
  <si>
    <t>BE (Days)</t>
  </si>
  <si>
    <t>QA (Days)</t>
  </si>
  <si>
    <t>Notifications – List/Implementation</t>
  </si>
  <si>
    <t>Notifications – Clear All</t>
  </si>
  <si>
    <t>Notifications - Filter</t>
  </si>
  <si>
    <t>Notifications – Real-Time / Refresh Handling</t>
  </si>
  <si>
    <t>Role-Based Notification Routing</t>
  </si>
  <si>
    <t>Total – Module</t>
  </si>
  <si>
    <t>FE Hours</t>
  </si>
  <si>
    <t>BE Hours</t>
  </si>
  <si>
    <t>QA(Days)</t>
  </si>
  <si>
    <t>Notifications – List</t>
  </si>
  <si>
    <t>Client Files</t>
  </si>
  <si>
    <t>Sining period expired</t>
  </si>
  <si>
    <t>Need to discuss</t>
  </si>
  <si>
    <t>Identificationand/or skill  has expired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</si>
</sst>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4"/>
      <name val="Calibri"/>
    </font>
    <font>
      <b/>
      <sz val="11"/>
      <name val="Calibri"/>
    </font>
    <font>
      <sz val="16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DEBF7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/>
    <xf numFmtId="0" fontId="3" fillId="4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2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4" fillId="5" borderId="1" xfId="0" applyFont="1" applyFill="1" applyBorder="1"/>
    <xf numFmtId="0" fontId="0" fillId="5" borderId="1" xfId="0" applyFill="1" applyBorder="1"/>
    <xf numFmtId="0" fontId="2" fillId="5" borderId="1" xfId="0" applyFont="1" applyFill="1" applyBorder="1"/>
    <xf numFmtId="0" fontId="4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4" fillId="0" borderId="0" xfId="0" applyFont="1"/>
    <xf numFmtId="0" fontId="1" fillId="3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/>
    <xf numFmtId="0" fontId="0" fillId="5" borderId="0" xfId="0" applyFill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A3" sqref="A3"/>
    </sheetView>
  </sheetViews>
  <sheetFormatPr defaultRowHeight="15"/>
  <cols>
    <col min="1" max="1" width="39.28515625" bestFit="1" customWidth="1"/>
    <col min="2" max="2" width="30.7109375" customWidth="1"/>
    <col min="3" max="3" width="31" customWidth="1"/>
    <col min="4" max="4" width="21.28515625" customWidth="1"/>
    <col min="5" max="5" width="16.28515625" customWidth="1"/>
    <col min="6" max="6" width="14.140625" customWidth="1"/>
    <col min="7" max="7" width="20.140625" customWidth="1"/>
    <col min="8" max="8" width="27.140625" customWidth="1"/>
    <col min="9" max="9" width="31.42578125" customWidth="1"/>
  </cols>
  <sheetData>
    <row r="1" spans="1:9" ht="18.75">
      <c r="A1" s="15" t="s">
        <v>0</v>
      </c>
      <c r="B1" s="19"/>
      <c r="C1" s="19"/>
      <c r="D1" s="19"/>
      <c r="E1" s="19"/>
    </row>
    <row r="2" spans="1:9">
      <c r="A2" t="s">
        <v>1</v>
      </c>
    </row>
    <row r="3" spans="1:9">
      <c r="A3" t="s">
        <v>2</v>
      </c>
    </row>
    <row r="5" spans="1:9" ht="18.75">
      <c r="A5" s="15" t="s">
        <v>3</v>
      </c>
      <c r="B5" s="19"/>
      <c r="C5" s="19"/>
      <c r="D5" s="19"/>
      <c r="E5" s="19"/>
    </row>
    <row r="6" spans="1:9" ht="39.75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4" t="s">
        <v>11</v>
      </c>
      <c r="I6" s="4" t="s">
        <v>12</v>
      </c>
    </row>
    <row r="7" spans="1:9" ht="29.25">
      <c r="A7" s="12" t="s">
        <v>13</v>
      </c>
      <c r="B7" s="5" t="s">
        <v>14</v>
      </c>
      <c r="C7" s="5" t="s">
        <v>15</v>
      </c>
      <c r="D7" s="5" t="s">
        <v>16</v>
      </c>
      <c r="E7" t="s">
        <v>2</v>
      </c>
      <c r="F7" s="5"/>
      <c r="G7" t="s">
        <v>17</v>
      </c>
      <c r="H7" s="5" t="s">
        <v>18</v>
      </c>
      <c r="I7" s="5" t="s">
        <v>19</v>
      </c>
    </row>
    <row r="8" spans="1:9" ht="43.5">
      <c r="A8" s="5"/>
      <c r="B8" s="5" t="s">
        <v>20</v>
      </c>
      <c r="C8" s="5" t="s">
        <v>21</v>
      </c>
      <c r="D8" s="5"/>
      <c r="E8" t="s">
        <v>2</v>
      </c>
      <c r="F8" s="5" t="s">
        <v>22</v>
      </c>
      <c r="G8" t="s">
        <v>23</v>
      </c>
      <c r="H8" s="5" t="s">
        <v>24</v>
      </c>
      <c r="I8" s="5" t="s">
        <v>25</v>
      </c>
    </row>
    <row r="9" spans="1:9" ht="43.5">
      <c r="A9" s="5"/>
      <c r="B9" s="5" t="s">
        <v>26</v>
      </c>
      <c r="C9" s="5" t="s">
        <v>15</v>
      </c>
      <c r="D9" s="5" t="s">
        <v>27</v>
      </c>
      <c r="E9" t="s">
        <v>1</v>
      </c>
      <c r="F9" s="5"/>
      <c r="G9" t="s">
        <v>23</v>
      </c>
      <c r="H9" s="5" t="s">
        <v>28</v>
      </c>
      <c r="I9" s="5" t="s">
        <v>29</v>
      </c>
    </row>
    <row r="10" spans="1:9" ht="29.25">
      <c r="A10" s="5"/>
      <c r="B10" s="5" t="s">
        <v>30</v>
      </c>
      <c r="C10" s="5"/>
      <c r="D10" s="5"/>
      <c r="E10" t="s">
        <v>1</v>
      </c>
      <c r="F10" s="5"/>
      <c r="G10" t="s">
        <v>23</v>
      </c>
      <c r="H10" s="5" t="s">
        <v>31</v>
      </c>
      <c r="I10" s="5" t="s">
        <v>32</v>
      </c>
    </row>
    <row r="11" spans="1:9" ht="29.25">
      <c r="A11" s="13" t="s">
        <v>33</v>
      </c>
      <c r="B11" s="5" t="s">
        <v>34</v>
      </c>
      <c r="C11" s="5"/>
      <c r="D11" s="5"/>
      <c r="E11" t="s">
        <v>2</v>
      </c>
      <c r="F11" s="5"/>
      <c r="G11" t="s">
        <v>35</v>
      </c>
      <c r="H11" s="5" t="s">
        <v>36</v>
      </c>
      <c r="I11" s="5" t="s">
        <v>37</v>
      </c>
    </row>
    <row r="12" spans="1:9" ht="29.25">
      <c r="A12" s="5"/>
      <c r="B12" s="5" t="s">
        <v>38</v>
      </c>
      <c r="C12" s="5" t="s">
        <v>39</v>
      </c>
      <c r="D12" s="5" t="s">
        <v>40</v>
      </c>
      <c r="E12" t="s">
        <v>1</v>
      </c>
      <c r="F12" s="5"/>
      <c r="G12" t="s">
        <v>23</v>
      </c>
      <c r="H12" s="5" t="s">
        <v>41</v>
      </c>
      <c r="I12" s="5" t="s">
        <v>42</v>
      </c>
    </row>
    <row r="13" spans="1:9" ht="29.25">
      <c r="A13" s="5"/>
      <c r="B13" s="5" t="s">
        <v>43</v>
      </c>
      <c r="C13" s="5" t="s">
        <v>44</v>
      </c>
      <c r="D13" s="5" t="s">
        <v>45</v>
      </c>
      <c r="E13" t="s">
        <v>2</v>
      </c>
      <c r="F13" s="5"/>
      <c r="G13" t="s">
        <v>17</v>
      </c>
      <c r="H13" s="5" t="s">
        <v>46</v>
      </c>
      <c r="I13" s="5" t="s">
        <v>47</v>
      </c>
    </row>
    <row r="14" spans="1:9" ht="29.25">
      <c r="A14" s="14" t="s">
        <v>48</v>
      </c>
      <c r="B14" s="5" t="s">
        <v>49</v>
      </c>
      <c r="C14" s="5" t="s">
        <v>50</v>
      </c>
      <c r="D14" s="5" t="s">
        <v>51</v>
      </c>
      <c r="E14" t="s">
        <v>1</v>
      </c>
      <c r="F14" s="5"/>
      <c r="G14" t="s">
        <v>23</v>
      </c>
      <c r="H14" s="5" t="s">
        <v>52</v>
      </c>
      <c r="I14" s="5" t="s">
        <v>53</v>
      </c>
    </row>
  </sheetData>
  <mergeCells count="2">
    <mergeCell ref="A1:E1"/>
    <mergeCell ref="A5:E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CD840-6EC2-42D1-BCB5-AF646D1EAFFF}">
  <dimension ref="A1:E8"/>
  <sheetViews>
    <sheetView workbookViewId="0">
      <selection activeCell="B13" sqref="B13"/>
    </sheetView>
  </sheetViews>
  <sheetFormatPr defaultRowHeight="15"/>
  <cols>
    <col min="1" max="1" width="39.28515625" bestFit="1" customWidth="1"/>
  </cols>
  <sheetData>
    <row r="1" spans="1:5" ht="18.75">
      <c r="A1" s="15" t="s">
        <v>54</v>
      </c>
      <c r="B1" s="19"/>
      <c r="C1" s="19"/>
      <c r="D1" s="19"/>
      <c r="E1" s="19"/>
    </row>
    <row r="2" spans="1:5">
      <c r="A2" s="1" t="s">
        <v>55</v>
      </c>
      <c r="B2" s="14" t="s">
        <v>56</v>
      </c>
      <c r="C2" s="14" t="s">
        <v>57</v>
      </c>
      <c r="D2" s="14" t="s">
        <v>58</v>
      </c>
      <c r="E2" s="14"/>
    </row>
    <row r="3" spans="1:5">
      <c r="A3" s="2" t="s">
        <v>59</v>
      </c>
      <c r="B3">
        <v>4</v>
      </c>
      <c r="C3">
        <v>3.5</v>
      </c>
      <c r="D3">
        <v>4</v>
      </c>
    </row>
    <row r="4" spans="1:5">
      <c r="A4" s="2" t="s">
        <v>60</v>
      </c>
      <c r="B4">
        <v>0</v>
      </c>
      <c r="C4">
        <v>0.5</v>
      </c>
      <c r="D4">
        <v>0</v>
      </c>
    </row>
    <row r="5" spans="1:5">
      <c r="A5" s="2" t="s">
        <v>61</v>
      </c>
      <c r="B5">
        <v>2</v>
      </c>
      <c r="C5">
        <v>0.5</v>
      </c>
      <c r="D5">
        <v>0</v>
      </c>
    </row>
    <row r="6" spans="1:5">
      <c r="A6" s="2" t="s">
        <v>62</v>
      </c>
      <c r="B6">
        <v>1</v>
      </c>
      <c r="C6">
        <v>3</v>
      </c>
      <c r="D6">
        <v>0</v>
      </c>
    </row>
    <row r="7" spans="1:5">
      <c r="A7" s="2" t="s">
        <v>63</v>
      </c>
      <c r="B7">
        <v>1</v>
      </c>
      <c r="C7">
        <v>1</v>
      </c>
      <c r="D7">
        <v>0</v>
      </c>
    </row>
    <row r="8" spans="1:5">
      <c r="A8" s="3" t="s">
        <v>64</v>
      </c>
      <c r="B8" s="14">
        <v>8</v>
      </c>
      <c r="C8" s="14">
        <v>8.5</v>
      </c>
      <c r="D8" s="14">
        <v>4</v>
      </c>
      <c r="E8" s="14"/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539D1-B510-482C-B0FB-320FBCF367E7}">
  <dimension ref="A1:K26"/>
  <sheetViews>
    <sheetView workbookViewId="0">
      <selection activeCell="C11" sqref="C11"/>
    </sheetView>
  </sheetViews>
  <sheetFormatPr defaultRowHeight="15"/>
  <cols>
    <col min="1" max="1" width="39.28515625" bestFit="1" customWidth="1"/>
    <col min="2" max="2" width="30.7109375" customWidth="1"/>
    <col min="3" max="3" width="31" customWidth="1"/>
    <col min="4" max="4" width="21.28515625" customWidth="1"/>
    <col min="5" max="5" width="16.28515625" customWidth="1"/>
    <col min="6" max="6" width="14.140625" customWidth="1"/>
    <col min="7" max="7" width="20.140625" customWidth="1"/>
    <col min="8" max="8" width="15.85546875" customWidth="1"/>
    <col min="9" max="9" width="16.42578125" customWidth="1"/>
  </cols>
  <sheetData>
    <row r="1" spans="1:11" ht="18.75">
      <c r="A1" s="16" t="s">
        <v>54</v>
      </c>
      <c r="B1" s="20"/>
      <c r="C1" s="20"/>
      <c r="D1" s="20"/>
      <c r="E1" s="20"/>
      <c r="F1" s="15"/>
      <c r="G1" s="19"/>
      <c r="H1" s="19"/>
      <c r="I1" s="19"/>
      <c r="J1" s="19"/>
      <c r="K1" s="19"/>
    </row>
    <row r="2" spans="1:11">
      <c r="A2" s="7" t="s">
        <v>55</v>
      </c>
      <c r="B2" s="7" t="s">
        <v>56</v>
      </c>
      <c r="C2" s="7" t="s">
        <v>65</v>
      </c>
      <c r="D2" s="7" t="s">
        <v>57</v>
      </c>
      <c r="E2" s="7" t="s">
        <v>66</v>
      </c>
      <c r="F2" s="1" t="s">
        <v>67</v>
      </c>
    </row>
    <row r="3" spans="1:11">
      <c r="A3" s="8" t="s">
        <v>68</v>
      </c>
      <c r="B3" s="9">
        <v>3</v>
      </c>
      <c r="C3" s="10">
        <f>IF(B3&gt;0,B3*7,"")</f>
        <v>21</v>
      </c>
      <c r="D3" s="9">
        <v>2.5</v>
      </c>
      <c r="E3" s="10">
        <f t="shared" ref="E3:E7" si="0">IF(D3&gt;0,D3*7,"")</f>
        <v>17.5</v>
      </c>
      <c r="F3" s="17">
        <v>4</v>
      </c>
    </row>
    <row r="4" spans="1:11">
      <c r="A4" s="8" t="s">
        <v>60</v>
      </c>
      <c r="B4" s="9"/>
      <c r="C4" s="10" t="str">
        <f t="shared" ref="C4:C7" si="1">IF(B4&gt;0,B4*7,"")</f>
        <v/>
      </c>
      <c r="D4" s="9">
        <v>0.5</v>
      </c>
      <c r="E4" s="10">
        <f t="shared" si="0"/>
        <v>3.5</v>
      </c>
      <c r="F4" s="18"/>
    </row>
    <row r="5" spans="1:11">
      <c r="A5" s="8" t="s">
        <v>61</v>
      </c>
      <c r="B5" s="9">
        <v>2</v>
      </c>
      <c r="C5" s="10">
        <f t="shared" si="1"/>
        <v>14</v>
      </c>
      <c r="D5" s="9">
        <v>0.5</v>
      </c>
      <c r="E5" s="10">
        <f t="shared" si="0"/>
        <v>3.5</v>
      </c>
      <c r="F5" s="18"/>
    </row>
    <row r="6" spans="1:11">
      <c r="A6" s="8" t="s">
        <v>62</v>
      </c>
      <c r="B6" s="9"/>
      <c r="C6" s="10" t="str">
        <f t="shared" si="1"/>
        <v/>
      </c>
      <c r="D6" s="9">
        <v>1</v>
      </c>
      <c r="E6" s="10">
        <f t="shared" si="0"/>
        <v>7</v>
      </c>
      <c r="F6" s="18"/>
    </row>
    <row r="7" spans="1:11">
      <c r="A7" s="8" t="s">
        <v>63</v>
      </c>
      <c r="B7" s="9">
        <v>1</v>
      </c>
      <c r="C7" s="10">
        <f t="shared" si="1"/>
        <v>7</v>
      </c>
      <c r="D7" s="9">
        <v>1</v>
      </c>
      <c r="E7" s="10">
        <f t="shared" si="0"/>
        <v>7</v>
      </c>
      <c r="F7" s="18"/>
    </row>
    <row r="8" spans="1:11">
      <c r="A8" s="11" t="s">
        <v>64</v>
      </c>
      <c r="B8" s="9">
        <f>SUM(B3:B7)</f>
        <v>6</v>
      </c>
      <c r="C8" s="10">
        <f>SUM(C3:C7)</f>
        <v>42</v>
      </c>
      <c r="D8" s="9">
        <v>5.5</v>
      </c>
      <c r="E8" s="10">
        <f>SUM(E3:E7)</f>
        <v>38.5</v>
      </c>
      <c r="F8" s="18"/>
    </row>
    <row r="10" spans="1:11" ht="18.75">
      <c r="A10" s="15" t="s">
        <v>0</v>
      </c>
      <c r="B10" s="19"/>
      <c r="C10" s="19"/>
      <c r="D10" s="19"/>
      <c r="E10" s="19"/>
    </row>
    <row r="11" spans="1:11">
      <c r="A11" t="s">
        <v>1</v>
      </c>
    </row>
    <row r="12" spans="1:11">
      <c r="A12" t="s">
        <v>2</v>
      </c>
    </row>
    <row r="14" spans="1:11" ht="18.75">
      <c r="A14" s="15" t="s">
        <v>3</v>
      </c>
      <c r="B14" s="19"/>
      <c r="C14" s="19"/>
      <c r="D14" s="19"/>
      <c r="E14" s="19"/>
    </row>
    <row r="15" spans="1:11" ht="80.25">
      <c r="A15" s="4" t="s">
        <v>4</v>
      </c>
      <c r="B15" s="4" t="s">
        <v>5</v>
      </c>
      <c r="C15" s="4" t="s">
        <v>6</v>
      </c>
      <c r="D15" s="4" t="s">
        <v>7</v>
      </c>
      <c r="E15" s="4" t="s">
        <v>8</v>
      </c>
      <c r="F15" s="4" t="s">
        <v>9</v>
      </c>
      <c r="G15" s="4" t="s">
        <v>10</v>
      </c>
      <c r="H15" s="4" t="s">
        <v>11</v>
      </c>
      <c r="I15" s="4" t="s">
        <v>12</v>
      </c>
    </row>
    <row r="16" spans="1:11" ht="43.5">
      <c r="A16" s="5" t="s">
        <v>13</v>
      </c>
      <c r="B16" s="5" t="s">
        <v>14</v>
      </c>
      <c r="C16" s="5" t="s">
        <v>15</v>
      </c>
      <c r="D16" s="5" t="s">
        <v>16</v>
      </c>
      <c r="E16" t="s">
        <v>1</v>
      </c>
      <c r="F16" s="5" t="s">
        <v>22</v>
      </c>
      <c r="G16" t="s">
        <v>35</v>
      </c>
    </row>
    <row r="17" spans="1:7" ht="43.5">
      <c r="A17" s="5"/>
      <c r="B17" s="5" t="s">
        <v>20</v>
      </c>
      <c r="C17" s="5" t="s">
        <v>21</v>
      </c>
      <c r="D17" s="5"/>
      <c r="E17" t="s">
        <v>2</v>
      </c>
      <c r="F17" s="5" t="s">
        <v>22</v>
      </c>
    </row>
    <row r="18" spans="1:7" ht="29.25">
      <c r="A18" s="5"/>
      <c r="B18" s="5" t="s">
        <v>26</v>
      </c>
      <c r="C18" s="5" t="s">
        <v>15</v>
      </c>
      <c r="D18" s="5" t="s">
        <v>27</v>
      </c>
      <c r="E18" t="s">
        <v>2</v>
      </c>
      <c r="F18" s="5"/>
    </row>
    <row r="19" spans="1:7">
      <c r="A19" s="5"/>
      <c r="B19" s="5" t="s">
        <v>69</v>
      </c>
      <c r="C19" s="5"/>
      <c r="D19" s="5"/>
      <c r="F19" s="5"/>
    </row>
    <row r="20" spans="1:7">
      <c r="A20" s="5"/>
      <c r="B20" s="5"/>
      <c r="C20" s="5"/>
      <c r="D20" s="5"/>
      <c r="F20" s="5"/>
    </row>
    <row r="21" spans="1:7" ht="29.25">
      <c r="A21" s="6" t="s">
        <v>33</v>
      </c>
      <c r="B21" s="5" t="s">
        <v>34</v>
      </c>
      <c r="C21" s="5"/>
      <c r="D21" s="5"/>
      <c r="E21" t="s">
        <v>1</v>
      </c>
      <c r="F21" s="5"/>
      <c r="G21" t="s">
        <v>35</v>
      </c>
    </row>
    <row r="22" spans="1:7">
      <c r="A22" s="5"/>
      <c r="B22" s="5" t="s">
        <v>38</v>
      </c>
      <c r="C22" s="5" t="s">
        <v>39</v>
      </c>
      <c r="D22" s="5" t="s">
        <v>40</v>
      </c>
      <c r="E22" t="s">
        <v>2</v>
      </c>
      <c r="F22" s="5"/>
    </row>
    <row r="23" spans="1:7" ht="29.25">
      <c r="A23" s="5"/>
      <c r="B23" s="5" t="s">
        <v>70</v>
      </c>
      <c r="C23" s="5" t="s">
        <v>39</v>
      </c>
      <c r="D23" s="5" t="s">
        <v>40</v>
      </c>
      <c r="E23" t="s">
        <v>2</v>
      </c>
      <c r="F23" s="5" t="s">
        <v>71</v>
      </c>
    </row>
    <row r="24" spans="1:7" ht="29.25">
      <c r="A24" s="5"/>
      <c r="B24" s="5" t="s">
        <v>43</v>
      </c>
      <c r="C24" s="5" t="s">
        <v>44</v>
      </c>
      <c r="D24" s="5" t="s">
        <v>45</v>
      </c>
      <c r="E24" t="s">
        <v>1</v>
      </c>
      <c r="F24" s="5"/>
      <c r="G24" t="s">
        <v>35</v>
      </c>
    </row>
    <row r="25" spans="1:7">
      <c r="F25" s="5"/>
    </row>
    <row r="26" spans="1:7" ht="29.25">
      <c r="A26" t="s">
        <v>48</v>
      </c>
      <c r="B26" s="5" t="s">
        <v>72</v>
      </c>
      <c r="C26" s="5" t="s">
        <v>50</v>
      </c>
      <c r="D26" s="5" t="s">
        <v>51</v>
      </c>
      <c r="E26" t="s">
        <v>2</v>
      </c>
      <c r="F26" s="5"/>
      <c r="G26" t="s">
        <v>23</v>
      </c>
    </row>
  </sheetData>
  <mergeCells count="5">
    <mergeCell ref="A1:E1"/>
    <mergeCell ref="F1:K1"/>
    <mergeCell ref="F3:F8"/>
    <mergeCell ref="A10:E10"/>
    <mergeCell ref="A14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2026-03-17T06:25:00Z</dcterms:created>
  <dcterms:modified xsi:type="dcterms:W3CDTF">2026-03-30T07:30:13Z</dcterms:modified>
  <cp:category/>
  <cp:contentStatus/>
</cp:coreProperties>
</file>